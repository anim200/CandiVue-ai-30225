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Estimate inputs" sheetId="2" state="visible" r:id="rId2"/>
    <sheet xmlns:r="http://schemas.openxmlformats.org/officeDocument/2006/relationships" name="Calls per 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333399"/>
      <sz val="13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333399"/>
      <sz val="16"/>
      <u val="single"/>
    </font>
    <font>
      <name val="Arial"/>
      <b val="1"/>
      <color rgb="00333399"/>
      <sz val="12"/>
      <u val="single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33339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7" fillId="0" borderId="0" pivotButton="0" quotePrefix="0" xfId="0"/>
    <xf numFmtId="164" fontId="4" fillId="3" borderId="1" pivotButton="0" quotePrefix="0" xfId="0"/>
    <xf numFmtId="165" fontId="4" fillId="3" borderId="1" pivotButton="0" quotePrefix="0" xfId="0"/>
    <xf numFmtId="164" fontId="2" fillId="0" borderId="1" pivotButton="0" quotePrefix="0" xfId="0"/>
    <xf numFmtId="164" fontId="8" fillId="0" borderId="1" pivotButton="0" quotePrefix="0" xfId="0"/>
    <xf numFmtId="164" fontId="5" fillId="0" borderId="1" pivotButton="0" quotePrefix="0" xfId="0"/>
    <xf numFmtId="0" fontId="5" fillId="0" borderId="0" pivotButton="0" quotePrefix="0" xfId="0"/>
    <xf numFmtId="0" fontId="1" fillId="0" borderId="0" pivotButton="0" quotePrefix="0" xfId="0"/>
    <xf numFmtId="3" fontId="4" fillId="3" borderId="1" pivotButton="0" quotePrefix="0" xfId="0"/>
    <xf numFmtId="9" fontId="4" fillId="3" borderId="1" pivotButton="0" quotePrefix="0" xfId="0"/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3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tokens by workflow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'Report'!$A$15:$A$23</f>
            </numRef>
          </cat>
          <val>
            <numRef>
              <f>'Report'!$F$15:$F$23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tokens per day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'Report'!$A$31:$A$40</f>
            </numRef>
          </cat>
          <val>
            <numRef>
              <f>'Report'!$F$31:$F$40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plan</author>
  </authors>
  <commentList>
    <comment ref="C47" authorId="0" shapeId="0">
      <text>
        <t>15 test jobs, ~8 chat turns each</t>
      </text>
    </comment>
    <comment ref="C48" authorId="0" shapeId="0">
      <text>
        <t>one draft + one revision per job</t>
      </text>
    </comment>
    <comment ref="C49" authorId="0" shapeId="0">
      <text>
        <t>20-CV sample batch, 2 AI checks per CV</t>
      </text>
    </comment>
    <comment ref="C50" authorId="0" shapeId="0">
      <text>
        <t>10 past candidates per run</t>
      </text>
    </comment>
    <comment ref="C51" authorId="0" shapeId="0">
      <text>
        <t>10 test interviews, 2 calls each</t>
      </text>
    </comment>
    <comment ref="C52" authorId="0" shapeId="0">
      <text>
        <t>one review per interview</t>
      </text>
    </comment>
    <comment ref="C53" authorId="0" shapeId="0">
      <text>
        <t>one report, some revisions</t>
      </text>
    </comment>
    <comment ref="C54" authorId="0" shapeId="0">
      <text>
        <t>~4 questions per interview</t>
      </text>
    </comment>
    <comment ref="C55" authorId="0" shapeId="0">
      <text>
        <t>one set per interview</t>
      </text>
    </comment>
  </commentList>
</comments>
</file>

<file path=xl/comments/comment2.xml><?xml version="1.0" encoding="utf-8"?>
<comments xmlns="http://schemas.openxmlformats.org/spreadsheetml/2006/main">
  <authors>
    <author>estimate</author>
  </authors>
  <commentList>
    <comment ref="D5" authorId="0" shapeId="0">
      <text>
        <t>Model shares are a guess: most work ran on the default model (gemini-3.5-flash-lite); the others were picked under the chat when the daily quota ran out.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13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CandiVue AI: Gemini Token Consumption (estimate)</t>
        </is>
      </c>
    </row>
    <row r="2">
      <c r="A2" s="2" t="inlineStr">
        <is>
          <t>[Your name] (ID 30225) · Source: estimate from prompt sizes in the code and the days AI features were built and tested · 2026-10-06 to 2026-10-27 · Gemini free tier</t>
        </is>
      </c>
    </row>
    <row r="4" ht="30" customHeight="1">
      <c r="A4" s="3" t="inlineStr">
        <is>
          <t>Model</t>
        </is>
      </c>
      <c r="B4" s="3" t="inlineStr">
        <is>
          <t>AI calls</t>
        </is>
      </c>
      <c r="C4" s="3" t="inlineStr">
        <is>
          <t>Input tokens</t>
        </is>
      </c>
      <c r="D4" s="3" t="inlineStr">
        <is>
          <t>Output tokens</t>
        </is>
      </c>
      <c r="E4" s="3" t="inlineStr">
        <is>
          <t>Thinking tokens</t>
        </is>
      </c>
      <c r="F4" s="3" t="inlineStr">
        <is>
          <t>Total tokens</t>
        </is>
      </c>
      <c r="G4" s="3" t="inlineStr">
        <is>
          <t>Avg tokens per call</t>
        </is>
      </c>
    </row>
    <row r="5">
      <c r="A5" s="4" t="inlineStr">
        <is>
          <t>gemini-3.5-flash-lite</t>
        </is>
      </c>
      <c r="B5" s="5">
        <f>ROUND(SUMPRODUCT('Calls per day'!$L$4:$L$12,'Estimate inputs'!D$5:D$13),0)</f>
        <v/>
      </c>
      <c r="C5" s="5">
        <f>ROUND(SUMPRODUCT('Calls per day'!$L$4:$L$12,'Estimate inputs'!D$5:D$13,'Estimate inputs'!$B$5:$B$13),0)</f>
        <v/>
      </c>
      <c r="D5" s="5">
        <f>ROUND(SUMPRODUCT('Calls per day'!$L$4:$L$12,'Estimate inputs'!D$5:D$13,'Estimate inputs'!$C$5:$C$13),0)</f>
        <v/>
      </c>
      <c r="E5" s="5" t="inlineStr">
        <is>
          <t>-</t>
        </is>
      </c>
      <c r="F5" s="5">
        <f>C5+D5</f>
        <v/>
      </c>
      <c r="G5" s="5">
        <f>IF(B5=0,0,F5/B5)</f>
        <v/>
      </c>
    </row>
    <row r="6">
      <c r="A6" s="4" t="inlineStr">
        <is>
          <t>gemini-3.5-flash</t>
        </is>
      </c>
      <c r="B6" s="5">
        <f>ROUND(SUMPRODUCT('Calls per day'!$L$4:$L$12,'Estimate inputs'!E$5:E$13),0)</f>
        <v/>
      </c>
      <c r="C6" s="5">
        <f>ROUND(SUMPRODUCT('Calls per day'!$L$4:$L$12,'Estimate inputs'!E$5:E$13,'Estimate inputs'!$B$5:$B$13),0)</f>
        <v/>
      </c>
      <c r="D6" s="5">
        <f>ROUND(SUMPRODUCT('Calls per day'!$L$4:$L$12,'Estimate inputs'!E$5:E$13,'Estimate inputs'!$C$5:$C$13),0)</f>
        <v/>
      </c>
      <c r="E6" s="5" t="inlineStr">
        <is>
          <t>-</t>
        </is>
      </c>
      <c r="F6" s="5">
        <f>C6+D6</f>
        <v/>
      </c>
      <c r="G6" s="5">
        <f>IF(B6=0,0,F6/B6)</f>
        <v/>
      </c>
    </row>
    <row r="7">
      <c r="A7" s="4" t="inlineStr">
        <is>
          <t>gemini-3.1-flash-lite</t>
        </is>
      </c>
      <c r="B7" s="5">
        <f>ROUND(SUMPRODUCT('Calls per day'!$L$4:$L$12,'Estimate inputs'!F$5:F$13),0)</f>
        <v/>
      </c>
      <c r="C7" s="5">
        <f>ROUND(SUMPRODUCT('Calls per day'!$L$4:$L$12,'Estimate inputs'!F$5:F$13,'Estimate inputs'!$B$5:$B$13),0)</f>
        <v/>
      </c>
      <c r="D7" s="5">
        <f>ROUND(SUMPRODUCT('Calls per day'!$L$4:$L$12,'Estimate inputs'!F$5:F$13,'Estimate inputs'!$C$5:$C$13),0)</f>
        <v/>
      </c>
      <c r="E7" s="5" t="inlineStr">
        <is>
          <t>-</t>
        </is>
      </c>
      <c r="F7" s="5">
        <f>C7+D7</f>
        <v/>
      </c>
      <c r="G7" s="5">
        <f>IF(B7=0,0,F7/B7)</f>
        <v/>
      </c>
    </row>
    <row r="8">
      <c r="A8" s="6" t="inlineStr">
        <is>
          <t>Total</t>
        </is>
      </c>
      <c r="B8" s="7">
        <f>SUM(B5:B7)</f>
        <v/>
      </c>
      <c r="C8" s="7">
        <f>SUM(C5:C7)</f>
        <v/>
      </c>
      <c r="D8" s="7">
        <f>SUM(D5:D7)</f>
        <v/>
      </c>
      <c r="E8" s="7" t="inlineStr">
        <is>
          <t>-</t>
        </is>
      </c>
      <c r="F8" s="7">
        <f>C8+D8</f>
        <v/>
      </c>
      <c r="G8" s="7">
        <f>IF(B8=0,0,F8/B8)</f>
        <v/>
      </c>
    </row>
    <row r="10">
      <c r="A10" s="2" t="inlineStr">
        <is>
          <t>These are estimates: CandiVue does not log token counts. Exact numbers are on Google's usage page (ai.dev/rate-limit).</t>
        </is>
      </c>
    </row>
    <row r="11">
      <c r="A11" s="2" t="inlineStr">
        <is>
          <t>Not included: thinking tokens, embeddings (local model), the local screening model and automated tests (fake LLM). See the input sheets.</t>
        </is>
      </c>
    </row>
    <row r="13">
      <c r="A13" s="8" t="inlineStr">
        <is>
          <t>Token consumption by workflow</t>
        </is>
      </c>
    </row>
    <row r="14" ht="30" customHeight="1">
      <c r="A14" s="3" t="inlineStr">
        <is>
          <t>Workflow</t>
        </is>
      </c>
      <c r="B14" s="3" t="inlineStr">
        <is>
          <t>AI calls</t>
        </is>
      </c>
      <c r="C14" s="3" t="inlineStr">
        <is>
          <t>Input tokens</t>
        </is>
      </c>
      <c r="D14" s="3" t="inlineStr">
        <is>
          <t>Output tokens</t>
        </is>
      </c>
      <c r="E14" s="3" t="inlineStr">
        <is>
          <t>Thinking tokens</t>
        </is>
      </c>
      <c r="F14" s="3" t="inlineStr">
        <is>
          <t>Total tokens</t>
        </is>
      </c>
      <c r="G14" s="3" t="inlineStr">
        <is>
          <t>Avg tokens per call</t>
        </is>
      </c>
    </row>
    <row r="15">
      <c r="A15" s="4" t="inlineStr">
        <is>
          <t>Hiring Assistant chat</t>
        </is>
      </c>
      <c r="B15" s="5">
        <f>'Calls per day'!L4</f>
        <v/>
      </c>
      <c r="C15" s="5">
        <f>B15*'Estimate inputs'!B5</f>
        <v/>
      </c>
      <c r="D15" s="5">
        <f>B15*'Estimate inputs'!C5</f>
        <v/>
      </c>
      <c r="E15" s="5" t="inlineStr">
        <is>
          <t>-</t>
        </is>
      </c>
      <c r="F15" s="5">
        <f>C15+D15</f>
        <v/>
      </c>
      <c r="G15" s="5">
        <f>IF(B15=0,0,F15/B15)</f>
        <v/>
      </c>
    </row>
    <row r="16">
      <c r="A16" s="4" t="inlineStr">
        <is>
          <t>JD writing</t>
        </is>
      </c>
      <c r="B16" s="5">
        <f>'Calls per day'!L5</f>
        <v/>
      </c>
      <c r="C16" s="5">
        <f>B16*'Estimate inputs'!B6</f>
        <v/>
      </c>
      <c r="D16" s="5">
        <f>B16*'Estimate inputs'!C6</f>
        <v/>
      </c>
      <c r="E16" s="5" t="inlineStr">
        <is>
          <t>-</t>
        </is>
      </c>
      <c r="F16" s="5">
        <f>C16+D16</f>
        <v/>
      </c>
      <c r="G16" s="5">
        <f>IF(B16=0,0,F16/B16)</f>
        <v/>
      </c>
    </row>
    <row r="17">
      <c r="A17" s="4" t="inlineStr">
        <is>
          <t>CV screening</t>
        </is>
      </c>
      <c r="B17" s="5">
        <f>'Calls per day'!L6</f>
        <v/>
      </c>
      <c r="C17" s="5">
        <f>B17*'Estimate inputs'!B7</f>
        <v/>
      </c>
      <c r="D17" s="5">
        <f>B17*'Estimate inputs'!C7</f>
        <v/>
      </c>
      <c r="E17" s="5" t="inlineStr">
        <is>
          <t>-</t>
        </is>
      </c>
      <c r="F17" s="5">
        <f>C17+D17</f>
        <v/>
      </c>
      <c r="G17" s="5">
        <f>IF(B17=0,0,F17/B17)</f>
        <v/>
      </c>
    </row>
    <row r="18">
      <c r="A18" s="4" t="inlineStr">
        <is>
          <t>Talent rediscovery</t>
        </is>
      </c>
      <c r="B18" s="5">
        <f>'Calls per day'!L7</f>
        <v/>
      </c>
      <c r="C18" s="5">
        <f>B18*'Estimate inputs'!B8</f>
        <v/>
      </c>
      <c r="D18" s="5">
        <f>B18*'Estimate inputs'!C8</f>
        <v/>
      </c>
      <c r="E18" s="5" t="inlineStr">
        <is>
          <t>-</t>
        </is>
      </c>
      <c r="F18" s="5">
        <f>C18+D18</f>
        <v/>
      </c>
      <c r="G18" s="5">
        <f>IF(B18=0,0,F18/B18)</f>
        <v/>
      </c>
    </row>
    <row r="19">
      <c r="A19" s="4" t="inlineStr">
        <is>
          <t>Q&amp;A analysis</t>
        </is>
      </c>
      <c r="B19" s="5">
        <f>'Calls per day'!L8</f>
        <v/>
      </c>
      <c r="C19" s="5">
        <f>B19*'Estimate inputs'!B9</f>
        <v/>
      </c>
      <c r="D19" s="5">
        <f>B19*'Estimate inputs'!C9</f>
        <v/>
      </c>
      <c r="E19" s="5" t="inlineStr">
        <is>
          <t>-</t>
        </is>
      </c>
      <c r="F19" s="5">
        <f>C19+D19</f>
        <v/>
      </c>
      <c r="G19" s="5">
        <f>IF(B19=0,0,F19/B19)</f>
        <v/>
      </c>
    </row>
    <row r="20">
      <c r="A20" s="4" t="inlineStr">
        <is>
          <t>Interview review (F8-F10)</t>
        </is>
      </c>
      <c r="B20" s="5">
        <f>'Calls per day'!L9</f>
        <v/>
      </c>
      <c r="C20" s="5">
        <f>B20*'Estimate inputs'!B10</f>
        <v/>
      </c>
      <c r="D20" s="5">
        <f>B20*'Estimate inputs'!C10</f>
        <v/>
      </c>
      <c r="E20" s="5" t="inlineStr">
        <is>
          <t>-</t>
        </is>
      </c>
      <c r="F20" s="5">
        <f>C20+D20</f>
        <v/>
      </c>
      <c r="G20" s="5">
        <f>IF(B20=0,0,F20/B20)</f>
        <v/>
      </c>
    </row>
    <row r="21">
      <c r="A21" s="4" t="inlineStr">
        <is>
          <t>Assessment report</t>
        </is>
      </c>
      <c r="B21" s="5">
        <f>'Calls per day'!L10</f>
        <v/>
      </c>
      <c r="C21" s="5">
        <f>B21*'Estimate inputs'!B11</f>
        <v/>
      </c>
      <c r="D21" s="5">
        <f>B21*'Estimate inputs'!C11</f>
        <v/>
      </c>
      <c r="E21" s="5" t="inlineStr">
        <is>
          <t>-</t>
        </is>
      </c>
      <c r="F21" s="5">
        <f>C21+D21</f>
        <v/>
      </c>
      <c r="G21" s="5">
        <f>IF(B21=0,0,F21/B21)</f>
        <v/>
      </c>
    </row>
    <row r="22">
      <c r="A22" s="4" t="inlineStr">
        <is>
          <t>AI Helper (live room)</t>
        </is>
      </c>
      <c r="B22" s="5">
        <f>'Calls per day'!L11</f>
        <v/>
      </c>
      <c r="C22" s="5">
        <f>B22*'Estimate inputs'!B12</f>
        <v/>
      </c>
      <c r="D22" s="5">
        <f>B22*'Estimate inputs'!C12</f>
        <v/>
      </c>
      <c r="E22" s="5" t="inlineStr">
        <is>
          <t>-</t>
        </is>
      </c>
      <c r="F22" s="5">
        <f>C22+D22</f>
        <v/>
      </c>
      <c r="G22" s="5">
        <f>IF(B22=0,0,F22/B22)</f>
        <v/>
      </c>
    </row>
    <row r="23">
      <c r="A23" s="4" t="inlineStr">
        <is>
          <t>CV interview questions</t>
        </is>
      </c>
      <c r="B23" s="5">
        <f>'Calls per day'!L12</f>
        <v/>
      </c>
      <c r="C23" s="5">
        <f>B23*'Estimate inputs'!B13</f>
        <v/>
      </c>
      <c r="D23" s="5">
        <f>B23*'Estimate inputs'!C13</f>
        <v/>
      </c>
      <c r="E23" s="5" t="inlineStr">
        <is>
          <t>-</t>
        </is>
      </c>
      <c r="F23" s="5">
        <f>C23+D23</f>
        <v/>
      </c>
      <c r="G23" s="5">
        <f>IF(B23=0,0,F23/B23)</f>
        <v/>
      </c>
    </row>
    <row r="24">
      <c r="A24" s="6" t="inlineStr">
        <is>
          <t>Total</t>
        </is>
      </c>
      <c r="B24" s="7">
        <f>SUM(B15:B23)</f>
        <v/>
      </c>
      <c r="C24" s="7">
        <f>SUM(C15:C23)</f>
        <v/>
      </c>
      <c r="D24" s="7">
        <f>SUM(D15:D23)</f>
        <v/>
      </c>
      <c r="E24" s="7" t="inlineStr">
        <is>
          <t>-</t>
        </is>
      </c>
      <c r="F24" s="7">
        <f>C24+D24</f>
        <v/>
      </c>
      <c r="G24" s="7">
        <f>IF(B24=0,0,F24/B24)</f>
        <v/>
      </c>
    </row>
    <row r="26">
      <c r="A26" s="2" t="inlineStr">
        <is>
          <t>Workflow = the part of CandiVue that sends the request to Gemini (see app/ai/llm.py, invoke_llm).</t>
        </is>
      </c>
    </row>
    <row r="29">
      <c r="A29" s="8" t="inlineStr">
        <is>
          <t>Token consumption by day</t>
        </is>
      </c>
    </row>
    <row r="30" ht="30" customHeight="1">
      <c r="A30" s="3" t="inlineStr">
        <is>
          <t>Date</t>
        </is>
      </c>
      <c r="B30" s="3" t="inlineStr">
        <is>
          <t>AI calls</t>
        </is>
      </c>
      <c r="C30" s="3" t="inlineStr">
        <is>
          <t>Input tokens</t>
        </is>
      </c>
      <c r="D30" s="3" t="inlineStr">
        <is>
          <t>Output tokens</t>
        </is>
      </c>
      <c r="E30" s="3" t="inlineStr">
        <is>
          <t>Thinking tokens</t>
        </is>
      </c>
      <c r="F30" s="3" t="inlineStr">
        <is>
          <t>Total tokens</t>
        </is>
      </c>
      <c r="G30" s="3" t="inlineStr">
        <is>
          <t>Avg tokens per call</t>
        </is>
      </c>
    </row>
    <row r="31">
      <c r="A31" s="4" t="inlineStr">
        <is>
          <t>2026-10-06</t>
        </is>
      </c>
      <c r="B31" s="5">
        <f>SUM('Calls per day'!B$4:B$12)</f>
        <v/>
      </c>
      <c r="C31" s="5">
        <f>SUMPRODUCT('Calls per day'!B$4:B$12,'Estimate inputs'!$B$5:$B$13)</f>
        <v/>
      </c>
      <c r="D31" s="5">
        <f>SUMPRODUCT('Calls per day'!B$4:B$12,'Estimate inputs'!$C$5:$C$13)</f>
        <v/>
      </c>
      <c r="E31" s="5" t="inlineStr">
        <is>
          <t>-</t>
        </is>
      </c>
      <c r="F31" s="5">
        <f>C31+D31</f>
        <v/>
      </c>
      <c r="G31" s="5">
        <f>IF(B31=0,0,F31/B31)</f>
        <v/>
      </c>
    </row>
    <row r="32">
      <c r="A32" s="4" t="inlineStr">
        <is>
          <t>2026-10-07</t>
        </is>
      </c>
      <c r="B32" s="5">
        <f>SUM('Calls per day'!C$4:C$12)</f>
        <v/>
      </c>
      <c r="C32" s="5">
        <f>SUMPRODUCT('Calls per day'!C$4:C$12,'Estimate inputs'!$B$5:$B$13)</f>
        <v/>
      </c>
      <c r="D32" s="5">
        <f>SUMPRODUCT('Calls per day'!C$4:C$12,'Estimate inputs'!$C$5:$C$13)</f>
        <v/>
      </c>
      <c r="E32" s="5" t="inlineStr">
        <is>
          <t>-</t>
        </is>
      </c>
      <c r="F32" s="5">
        <f>C32+D32</f>
        <v/>
      </c>
      <c r="G32" s="5">
        <f>IF(B32=0,0,F32/B32)</f>
        <v/>
      </c>
    </row>
    <row r="33">
      <c r="A33" s="4" t="inlineStr">
        <is>
          <t>2026-10-08</t>
        </is>
      </c>
      <c r="B33" s="5">
        <f>SUM('Calls per day'!D$4:D$12)</f>
        <v/>
      </c>
      <c r="C33" s="5">
        <f>SUMPRODUCT('Calls per day'!D$4:D$12,'Estimate inputs'!$B$5:$B$13)</f>
        <v/>
      </c>
      <c r="D33" s="5">
        <f>SUMPRODUCT('Calls per day'!D$4:D$12,'Estimate inputs'!$C$5:$C$13)</f>
        <v/>
      </c>
      <c r="E33" s="5" t="inlineStr">
        <is>
          <t>-</t>
        </is>
      </c>
      <c r="F33" s="5">
        <f>C33+D33</f>
        <v/>
      </c>
      <c r="G33" s="5">
        <f>IF(B33=0,0,F33/B33)</f>
        <v/>
      </c>
    </row>
    <row r="34">
      <c r="A34" s="4" t="inlineStr">
        <is>
          <t>2026-10-11</t>
        </is>
      </c>
      <c r="B34" s="5">
        <f>SUM('Calls per day'!E$4:E$12)</f>
        <v/>
      </c>
      <c r="C34" s="5">
        <f>SUMPRODUCT('Calls per day'!E$4:E$12,'Estimate inputs'!$B$5:$B$13)</f>
        <v/>
      </c>
      <c r="D34" s="5">
        <f>SUMPRODUCT('Calls per day'!E$4:E$12,'Estimate inputs'!$C$5:$C$13)</f>
        <v/>
      </c>
      <c r="E34" s="5" t="inlineStr">
        <is>
          <t>-</t>
        </is>
      </c>
      <c r="F34" s="5">
        <f>C34+D34</f>
        <v/>
      </c>
      <c r="G34" s="5">
        <f>IF(B34=0,0,F34/B34)</f>
        <v/>
      </c>
    </row>
    <row r="35">
      <c r="A35" s="4" t="inlineStr">
        <is>
          <t>2026-10-13</t>
        </is>
      </c>
      <c r="B35" s="5">
        <f>SUM('Calls per day'!F$4:F$12)</f>
        <v/>
      </c>
      <c r="C35" s="5">
        <f>SUMPRODUCT('Calls per day'!F$4:F$12,'Estimate inputs'!$B$5:$B$13)</f>
        <v/>
      </c>
      <c r="D35" s="5">
        <f>SUMPRODUCT('Calls per day'!F$4:F$12,'Estimate inputs'!$C$5:$C$13)</f>
        <v/>
      </c>
      <c r="E35" s="5" t="inlineStr">
        <is>
          <t>-</t>
        </is>
      </c>
      <c r="F35" s="5">
        <f>C35+D35</f>
        <v/>
      </c>
      <c r="G35" s="5">
        <f>IF(B35=0,0,F35/B35)</f>
        <v/>
      </c>
    </row>
    <row r="36">
      <c r="A36" s="4" t="inlineStr">
        <is>
          <t>2026-10-15</t>
        </is>
      </c>
      <c r="B36" s="5">
        <f>SUM('Calls per day'!G$4:G$12)</f>
        <v/>
      </c>
      <c r="C36" s="5">
        <f>SUMPRODUCT('Calls per day'!G$4:G$12,'Estimate inputs'!$B$5:$B$13)</f>
        <v/>
      </c>
      <c r="D36" s="5">
        <f>SUMPRODUCT('Calls per day'!G$4:G$12,'Estimate inputs'!$C$5:$C$13)</f>
        <v/>
      </c>
      <c r="E36" s="5" t="inlineStr">
        <is>
          <t>-</t>
        </is>
      </c>
      <c r="F36" s="5">
        <f>C36+D36</f>
        <v/>
      </c>
      <c r="G36" s="5">
        <f>IF(B36=0,0,F36/B36)</f>
        <v/>
      </c>
    </row>
    <row r="37">
      <c r="A37" s="4" t="inlineStr">
        <is>
          <t>2026-10-17</t>
        </is>
      </c>
      <c r="B37" s="5">
        <f>SUM('Calls per day'!H$4:H$12)</f>
        <v/>
      </c>
      <c r="C37" s="5">
        <f>SUMPRODUCT('Calls per day'!H$4:H$12,'Estimate inputs'!$B$5:$B$13)</f>
        <v/>
      </c>
      <c r="D37" s="5">
        <f>SUMPRODUCT('Calls per day'!H$4:H$12,'Estimate inputs'!$C$5:$C$13)</f>
        <v/>
      </c>
      <c r="E37" s="5" t="inlineStr">
        <is>
          <t>-</t>
        </is>
      </c>
      <c r="F37" s="5">
        <f>C37+D37</f>
        <v/>
      </c>
      <c r="G37" s="5">
        <f>IF(B37=0,0,F37/B37)</f>
        <v/>
      </c>
    </row>
    <row r="38">
      <c r="A38" s="4" t="inlineStr">
        <is>
          <t>2026-10-18</t>
        </is>
      </c>
      <c r="B38" s="5">
        <f>SUM('Calls per day'!I$4:I$12)</f>
        <v/>
      </c>
      <c r="C38" s="5">
        <f>SUMPRODUCT('Calls per day'!I$4:I$12,'Estimate inputs'!$B$5:$B$13)</f>
        <v/>
      </c>
      <c r="D38" s="5">
        <f>SUMPRODUCT('Calls per day'!I$4:I$12,'Estimate inputs'!$C$5:$C$13)</f>
        <v/>
      </c>
      <c r="E38" s="5" t="inlineStr">
        <is>
          <t>-</t>
        </is>
      </c>
      <c r="F38" s="5">
        <f>C38+D38</f>
        <v/>
      </c>
      <c r="G38" s="5">
        <f>IF(B38=0,0,F38/B38)</f>
        <v/>
      </c>
    </row>
    <row r="39">
      <c r="A39" s="4" t="inlineStr">
        <is>
          <t>2026-10-22</t>
        </is>
      </c>
      <c r="B39" s="5">
        <f>SUM('Calls per day'!J$4:J$12)</f>
        <v/>
      </c>
      <c r="C39" s="5">
        <f>SUMPRODUCT('Calls per day'!J$4:J$12,'Estimate inputs'!$B$5:$B$13)</f>
        <v/>
      </c>
      <c r="D39" s="5">
        <f>SUMPRODUCT('Calls per day'!J$4:J$12,'Estimate inputs'!$C$5:$C$13)</f>
        <v/>
      </c>
      <c r="E39" s="5" t="inlineStr">
        <is>
          <t>-</t>
        </is>
      </c>
      <c r="F39" s="5">
        <f>C39+D39</f>
        <v/>
      </c>
      <c r="G39" s="5">
        <f>IF(B39=0,0,F39/B39)</f>
        <v/>
      </c>
    </row>
    <row r="40">
      <c r="A40" s="4" t="inlineStr">
        <is>
          <t>2026-10-23</t>
        </is>
      </c>
      <c r="B40" s="5">
        <f>SUM('Calls per day'!K$4:K$12)</f>
        <v/>
      </c>
      <c r="C40" s="5">
        <f>SUMPRODUCT('Calls per day'!K$4:K$12,'Estimate inputs'!$B$5:$B$13)</f>
        <v/>
      </c>
      <c r="D40" s="5">
        <f>SUMPRODUCT('Calls per day'!K$4:K$12,'Estimate inputs'!$C$5:$C$13)</f>
        <v/>
      </c>
      <c r="E40" s="5" t="inlineStr">
        <is>
          <t>-</t>
        </is>
      </c>
      <c r="F40" s="5">
        <f>C40+D40</f>
        <v/>
      </c>
      <c r="G40" s="5">
        <f>IF(B40=0,0,F40/B40)</f>
        <v/>
      </c>
    </row>
    <row r="41">
      <c r="A41" s="6" t="inlineStr">
        <is>
          <t>Total</t>
        </is>
      </c>
      <c r="B41" s="7">
        <f>SUM(B31:B40)</f>
        <v/>
      </c>
      <c r="C41" s="7">
        <f>SUM(C31:C40)</f>
        <v/>
      </c>
      <c r="D41" s="7">
        <f>SUM(D31:D40)</f>
        <v/>
      </c>
      <c r="E41" s="7" t="inlineStr">
        <is>
          <t>-</t>
        </is>
      </c>
      <c r="F41" s="7">
        <f>C41+D41</f>
        <v/>
      </c>
      <c r="G41" s="7">
        <f>IF(B41=0,0,F41/B41)</f>
        <v/>
      </c>
    </row>
    <row r="44">
      <c r="A44" s="8" t="inlineStr">
        <is>
          <t>Pre-project estimate (planned before building)</t>
        </is>
      </c>
    </row>
    <row r="45">
      <c r="A45" s="2" t="inlineStr">
        <is>
          <t>What I would have estimated at the start (4 Oct 2026), from the requirements only: the core features, the 20-CV sample batch and the planned test runs. Edit the yellow cells.</t>
        </is>
      </c>
    </row>
    <row r="46" ht="30" customHeight="1">
      <c r="A46" s="3" t="inlineStr">
        <is>
          <t>Workflow</t>
        </is>
      </c>
      <c r="B46" s="3" t="inlineStr">
        <is>
          <t>Planned test runs</t>
        </is>
      </c>
      <c r="C46" s="3" t="inlineStr">
        <is>
          <t>AI calls per run</t>
        </is>
      </c>
      <c r="D46" s="3" t="inlineStr">
        <is>
          <t>Planned AI calls</t>
        </is>
      </c>
      <c r="E46" s="3" t="inlineStr">
        <is>
          <t>Tokens per call (guess)</t>
        </is>
      </c>
      <c r="F46" s="3" t="inlineStr">
        <is>
          <t>Planned tokens</t>
        </is>
      </c>
      <c r="G46" s="3" t="inlineStr">
        <is>
          <t>Current estimate</t>
        </is>
      </c>
      <c r="H46" s="3" t="inlineStr">
        <is>
          <t>Difference</t>
        </is>
      </c>
    </row>
    <row r="47">
      <c r="A47" s="4" t="inlineStr">
        <is>
          <t>Hiring Assistant chat</t>
        </is>
      </c>
      <c r="B47" s="9" t="n">
        <v>15</v>
      </c>
      <c r="C47" s="10" t="n">
        <v>8</v>
      </c>
      <c r="D47" s="11">
        <f>B47*C47</f>
        <v/>
      </c>
      <c r="E47" s="9" t="n">
        <v>1500</v>
      </c>
      <c r="F47" s="11">
        <f>D47*E47</f>
        <v/>
      </c>
      <c r="G47" s="12">
        <f>F15</f>
        <v/>
      </c>
      <c r="H47" s="11">
        <f>G47-F47</f>
        <v/>
      </c>
    </row>
    <row r="48">
      <c r="A48" s="4" t="inlineStr">
        <is>
          <t>JD writing</t>
        </is>
      </c>
      <c r="B48" s="9" t="n">
        <v>15</v>
      </c>
      <c r="C48" s="10" t="n">
        <v>2</v>
      </c>
      <c r="D48" s="11">
        <f>B48*C48</f>
        <v/>
      </c>
      <c r="E48" s="9" t="n">
        <v>2500</v>
      </c>
      <c r="F48" s="11">
        <f>D48*E48</f>
        <v/>
      </c>
      <c r="G48" s="12">
        <f>F16</f>
        <v/>
      </c>
      <c r="H48" s="11">
        <f>G48-F48</f>
        <v/>
      </c>
    </row>
    <row r="49">
      <c r="A49" s="4" t="inlineStr">
        <is>
          <t>CV screening</t>
        </is>
      </c>
      <c r="B49" s="9" t="n">
        <v>8</v>
      </c>
      <c r="C49" s="10" t="n">
        <v>40</v>
      </c>
      <c r="D49" s="11">
        <f>B49*C49</f>
        <v/>
      </c>
      <c r="E49" s="9" t="n">
        <v>1500</v>
      </c>
      <c r="F49" s="11">
        <f>D49*E49</f>
        <v/>
      </c>
      <c r="G49" s="12">
        <f>F17</f>
        <v/>
      </c>
      <c r="H49" s="11">
        <f>G49-F49</f>
        <v/>
      </c>
    </row>
    <row r="50">
      <c r="A50" s="4" t="inlineStr">
        <is>
          <t>Talent rediscovery</t>
        </is>
      </c>
      <c r="B50" s="9" t="n">
        <v>5</v>
      </c>
      <c r="C50" s="10" t="n">
        <v>10</v>
      </c>
      <c r="D50" s="11">
        <f>B50*C50</f>
        <v/>
      </c>
      <c r="E50" s="9" t="n">
        <v>1500</v>
      </c>
      <c r="F50" s="11">
        <f>D50*E50</f>
        <v/>
      </c>
      <c r="G50" s="12">
        <f>F18</f>
        <v/>
      </c>
      <c r="H50" s="11">
        <f>G50-F50</f>
        <v/>
      </c>
    </row>
    <row r="51">
      <c r="A51" s="4" t="inlineStr">
        <is>
          <t>Q&amp;A analysis</t>
        </is>
      </c>
      <c r="B51" s="9" t="n">
        <v>10</v>
      </c>
      <c r="C51" s="10" t="n">
        <v>2</v>
      </c>
      <c r="D51" s="11">
        <f>B51*C51</f>
        <v/>
      </c>
      <c r="E51" s="9" t="n">
        <v>3000</v>
      </c>
      <c r="F51" s="11">
        <f>D51*E51</f>
        <v/>
      </c>
      <c r="G51" s="12">
        <f>F19</f>
        <v/>
      </c>
      <c r="H51" s="11">
        <f>G51-F51</f>
        <v/>
      </c>
    </row>
    <row r="52">
      <c r="A52" s="4" t="inlineStr">
        <is>
          <t>Interview review (F8-F10)</t>
        </is>
      </c>
      <c r="B52" s="9" t="n">
        <v>10</v>
      </c>
      <c r="C52" s="10" t="n">
        <v>1</v>
      </c>
      <c r="D52" s="11">
        <f>B52*C52</f>
        <v/>
      </c>
      <c r="E52" s="9" t="n">
        <v>3500</v>
      </c>
      <c r="F52" s="11">
        <f>D52*E52</f>
        <v/>
      </c>
      <c r="G52" s="12">
        <f>F20</f>
        <v/>
      </c>
      <c r="H52" s="11">
        <f>G52-F52</f>
        <v/>
      </c>
    </row>
    <row r="53">
      <c r="A53" s="4" t="inlineStr">
        <is>
          <t>Assessment report</t>
        </is>
      </c>
      <c r="B53" s="9" t="n">
        <v>10</v>
      </c>
      <c r="C53" s="10" t="n">
        <v>1.5</v>
      </c>
      <c r="D53" s="11">
        <f>B53*C53</f>
        <v/>
      </c>
      <c r="E53" s="9" t="n">
        <v>3000</v>
      </c>
      <c r="F53" s="11">
        <f>D53*E53</f>
        <v/>
      </c>
      <c r="G53" s="12">
        <f>F21</f>
        <v/>
      </c>
      <c r="H53" s="11">
        <f>G53-F53</f>
        <v/>
      </c>
    </row>
    <row r="54">
      <c r="A54" s="4" t="inlineStr">
        <is>
          <t>AI Helper (live room)</t>
        </is>
      </c>
      <c r="B54" s="9" t="n">
        <v>10</v>
      </c>
      <c r="C54" s="10" t="n">
        <v>4</v>
      </c>
      <c r="D54" s="11">
        <f>B54*C54</f>
        <v/>
      </c>
      <c r="E54" s="9" t="n">
        <v>1500</v>
      </c>
      <c r="F54" s="11">
        <f>D54*E54</f>
        <v/>
      </c>
      <c r="G54" s="12">
        <f>F22</f>
        <v/>
      </c>
      <c r="H54" s="11">
        <f>G54-F54</f>
        <v/>
      </c>
    </row>
    <row r="55">
      <c r="A55" s="4" t="inlineStr">
        <is>
          <t>CV interview questions</t>
        </is>
      </c>
      <c r="B55" s="9" t="n">
        <v>10</v>
      </c>
      <c r="C55" s="10" t="n">
        <v>1</v>
      </c>
      <c r="D55" s="11">
        <f>B55*C55</f>
        <v/>
      </c>
      <c r="E55" s="9" t="n">
        <v>1000</v>
      </c>
      <c r="F55" s="11">
        <f>D55*E55</f>
        <v/>
      </c>
      <c r="G55" s="12">
        <f>F23</f>
        <v/>
      </c>
      <c r="H55" s="11">
        <f>G55-F55</f>
        <v/>
      </c>
    </row>
    <row r="56">
      <c r="A56" s="13" t="inlineStr">
        <is>
          <t>Total</t>
        </is>
      </c>
      <c r="B56" s="13" t="n"/>
      <c r="C56" s="13" t="n"/>
      <c r="D56" s="13">
        <f>SUM(D47:D55)</f>
        <v/>
      </c>
      <c r="E56" s="13" t="n"/>
      <c r="F56" s="13">
        <f>SUM(F47:F55)</f>
        <v/>
      </c>
      <c r="G56" s="13">
        <f>SUM(G47:G55)</f>
        <v/>
      </c>
      <c r="H56" s="13">
        <f>G56-F56</f>
        <v/>
      </c>
    </row>
    <row r="58">
      <c r="A58" s="14" t="inlineStr">
        <is>
          <t>Why the real use differs from the plan:</t>
        </is>
      </c>
    </row>
    <row r="59">
      <c r="A59" s="2" t="inlineStr">
        <is>
          <t>- CV screening used far less: rules and a local model do most checks; Gemini only checks what is left, and only since 23 Oct.</t>
        </is>
      </c>
    </row>
    <row r="60">
      <c r="A60" s="2" t="inlineStr">
        <is>
          <t>- Hiring Assistant chat used far more: every call also sends all the tool definitions (~16,000 characters), not only the chat.</t>
        </is>
      </c>
    </row>
    <row r="61">
      <c r="A61" s="2" t="inlineStr">
        <is>
          <t>- Analysis and report calls are bigger than guessed: they send the transcript, CV items and RAG passages together.</t>
        </is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80" customWidth="1" min="7" max="7"/>
  </cols>
  <sheetData>
    <row r="1">
      <c r="A1" s="15" t="inlineStr">
        <is>
          <t>Estimate inputs (edit the yellow cells; the Report sheet updates)</t>
        </is>
      </c>
    </row>
    <row r="2">
      <c r="A2" s="2" t="inlineStr">
        <is>
          <t>Tokens = characters / 4. Character counts were measured from the prompts, schemas and tool definitions in the code on 27 Oct 2026.</t>
        </is>
      </c>
    </row>
    <row r="4" ht="30" customHeight="1">
      <c r="A4" s="3" t="inlineStr">
        <is>
          <t>Workflow</t>
        </is>
      </c>
      <c r="B4" s="3" t="inlineStr">
        <is>
          <t>Input tokens per call</t>
        </is>
      </c>
      <c r="C4" s="3" t="inlineStr">
        <is>
          <t>Output tokens per call</t>
        </is>
      </c>
      <c r="D4" s="3" t="inlineStr">
        <is>
          <t>Share gemini-3.5-flash-lite</t>
        </is>
      </c>
      <c r="E4" s="3" t="inlineStr">
        <is>
          <t>Share gemini-3.5-flash</t>
        </is>
      </c>
      <c r="F4" s="3" t="inlineStr">
        <is>
          <t>Share gemini-3.1-flash-lite</t>
        </is>
      </c>
      <c r="G4" s="3" t="inlineStr">
        <is>
          <t>How the size was estimated</t>
        </is>
      </c>
    </row>
    <row r="5">
      <c r="A5" s="4" t="inlineStr">
        <is>
          <t>Hiring Assistant chat</t>
        </is>
      </c>
      <c r="B5" s="16" t="n">
        <v>4850</v>
      </c>
      <c r="C5" s="16" t="n">
        <v>90</v>
      </c>
      <c r="D5" s="17" t="n">
        <v>0.8</v>
      </c>
      <c r="E5" s="17" t="n">
        <v>0.12</v>
      </c>
      <c r="F5" s="17" t="n">
        <v>0.08</v>
      </c>
      <c r="G5" s="18" t="inlineStr">
        <is>
          <t>System prompt 5,418 + tool definitions 10,453 + job context ~500 + chat history ~3,000 chars. Output: a short reply or a tool call.</t>
        </is>
      </c>
    </row>
    <row r="6">
      <c r="A6" s="4" t="inlineStr">
        <is>
          <t>JD writing</t>
        </is>
      </c>
      <c r="B6" s="16" t="n">
        <v>1800</v>
      </c>
      <c r="C6" s="16" t="n">
        <v>650</v>
      </c>
      <c r="D6" s="17" t="n">
        <v>0.8</v>
      </c>
      <c r="E6" s="17" t="n">
        <v>0.12</v>
      </c>
      <c r="F6" s="17" t="n">
        <v>0.08</v>
      </c>
      <c r="G6" s="18" t="inlineStr">
        <is>
          <t>JD prompt 1,608 + schema 1,085 + profile JSON ~1,500 + reference passages ~3,000 chars. Output: a full JD (~2,600 chars).</t>
        </is>
      </c>
    </row>
    <row r="7">
      <c r="A7" s="4" t="inlineStr">
        <is>
          <t>CV screening</t>
        </is>
      </c>
      <c r="B7" s="16" t="n">
        <v>1050</v>
      </c>
      <c r="C7" s="16" t="n">
        <v>110</v>
      </c>
      <c r="D7" s="17" t="n">
        <v>1</v>
      </c>
      <c r="E7" s="17" t="n">
        <v>0</v>
      </c>
      <c r="F7" s="17" t="n">
        <v>0</v>
      </c>
      <c r="G7" s="18" t="inlineStr">
        <is>
          <t>Years check (prompt 419 + schema 473) or requirement check (390 + 723) + CV text ~3,000 chars (max 6,000). Gemini only since 23 Oct; before that the local model did these checks (0 Gemini tokens).</t>
        </is>
      </c>
    </row>
    <row r="8">
      <c r="A8" s="4" t="inlineStr">
        <is>
          <t>Talent rediscovery</t>
        </is>
      </c>
      <c r="B8" s="16" t="n">
        <v>1050</v>
      </c>
      <c r="C8" s="16" t="n">
        <v>110</v>
      </c>
      <c r="D8" s="17" t="n">
        <v>1</v>
      </c>
      <c r="E8" s="17" t="n">
        <v>0</v>
      </c>
      <c r="F8" s="17" t="n">
        <v>0</v>
      </c>
      <c r="G8" s="18" t="inlineStr">
        <is>
          <t>Uses the same AI checks as CV screening (Gemini since 23 Oct).</t>
        </is>
      </c>
    </row>
    <row r="9">
      <c r="A9" s="4" t="inlineStr">
        <is>
          <t>Q&amp;A analysis</t>
        </is>
      </c>
      <c r="B9" s="16" t="n">
        <v>2250</v>
      </c>
      <c r="C9" s="16" t="n">
        <v>450</v>
      </c>
      <c r="D9" s="17" t="n">
        <v>0.8</v>
      </c>
      <c r="E9" s="17" t="n">
        <v>0.12</v>
      </c>
      <c r="F9" s="17" t="n">
        <v>0.08</v>
      </c>
      <c r="G9" s="18" t="inlineStr">
        <is>
          <t>Two calls per run: segmentation (prompt 1,503 + schema 1,137 + transcript ~4,000 chars) and answer evaluation (1,545 + 1,745 + answers and RAG passages ~7,000 chars).</t>
        </is>
      </c>
    </row>
    <row r="10">
      <c r="A10" s="4" t="inlineStr">
        <is>
          <t>Interview review (F8-F10)</t>
        </is>
      </c>
      <c r="B10" s="16" t="n">
        <v>3100</v>
      </c>
      <c r="C10" s="16" t="n">
        <v>500</v>
      </c>
      <c r="D10" s="17" t="n">
        <v>0.8</v>
      </c>
      <c r="E10" s="17" t="n">
        <v>0.12</v>
      </c>
      <c r="F10" s="17" t="n">
        <v>0.08</v>
      </c>
      <c r="G10" s="18" t="inlineStr">
        <is>
          <t>Review prompt 2,032 + schema 2,405 + CV items, scored answers and transcript ~8,000 chars.</t>
        </is>
      </c>
    </row>
    <row r="11">
      <c r="A11" s="4" t="inlineStr">
        <is>
          <t>Assessment report</t>
        </is>
      </c>
      <c r="B11" s="16" t="n">
        <v>2550</v>
      </c>
      <c r="C11" s="16" t="n">
        <v>380</v>
      </c>
      <c r="D11" s="17" t="n">
        <v>0.8</v>
      </c>
      <c r="E11" s="17" t="n">
        <v>0.12</v>
      </c>
      <c r="F11" s="17" t="n">
        <v>0.08</v>
      </c>
      <c r="G11" s="18" t="inlineStr">
        <is>
          <t>Findings prompt 1,521 + schema 1,044 + report context ~8,000 chars; about 1 in 4 reports needs a repair call (prompt 753 + schema 670).</t>
        </is>
      </c>
    </row>
    <row r="12">
      <c r="A12" s="4" t="inlineStr">
        <is>
          <t>AI Helper (live room)</t>
        </is>
      </c>
      <c r="B12" s="16" t="n">
        <v>1700</v>
      </c>
      <c r="C12" s="16" t="n">
        <v>100</v>
      </c>
      <c r="D12" s="17" t="n">
        <v>0.8</v>
      </c>
      <c r="E12" s="17" t="n">
        <v>0.12</v>
      </c>
      <c r="F12" s="17" t="n">
        <v>0.08</v>
      </c>
      <c r="G12" s="18" t="inlineStr">
        <is>
          <t>Room prompt 2,175 + room tools 2,609 + context and history ~2,000 chars.</t>
        </is>
      </c>
    </row>
    <row r="13">
      <c r="A13" s="4" t="inlineStr">
        <is>
          <t>CV interview questions</t>
        </is>
      </c>
      <c r="B13" s="16" t="n">
        <v>800</v>
      </c>
      <c r="C13" s="16" t="n">
        <v>250</v>
      </c>
      <c r="D13" s="17" t="n">
        <v>0.8</v>
      </c>
      <c r="E13" s="17" t="n">
        <v>0.12</v>
      </c>
      <c r="F13" s="17" t="n">
        <v>0.08</v>
      </c>
      <c r="G13" s="18" t="inlineStr">
        <is>
          <t>Prompt 619 + schema 727 + requirements and CV summary ~1,800 chars. Output: 5 questions.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5" t="inlineStr">
        <is>
          <t>Estimated AI calls per day (edit the yellow cells)</t>
        </is>
      </c>
    </row>
    <row r="3">
      <c r="A3" s="19" t="inlineStr">
        <is>
          <t>Workflow</t>
        </is>
      </c>
      <c r="B3" s="19" t="inlineStr">
        <is>
          <t>2026-10-06</t>
        </is>
      </c>
      <c r="C3" s="19" t="inlineStr">
        <is>
          <t>2026-10-07</t>
        </is>
      </c>
      <c r="D3" s="19" t="inlineStr">
        <is>
          <t>2026-10-08</t>
        </is>
      </c>
      <c r="E3" s="19" t="inlineStr">
        <is>
          <t>2026-10-11</t>
        </is>
      </c>
      <c r="F3" s="19" t="inlineStr">
        <is>
          <t>2026-10-13</t>
        </is>
      </c>
      <c r="G3" s="19" t="inlineStr">
        <is>
          <t>2026-10-15</t>
        </is>
      </c>
      <c r="H3" s="19" t="inlineStr">
        <is>
          <t>2026-10-17</t>
        </is>
      </c>
      <c r="I3" s="19" t="inlineStr">
        <is>
          <t>2026-10-18</t>
        </is>
      </c>
      <c r="J3" s="19" t="inlineStr">
        <is>
          <t>2026-10-22</t>
        </is>
      </c>
      <c r="K3" s="19" t="inlineStr">
        <is>
          <t>2026-10-23</t>
        </is>
      </c>
      <c r="L3" s="19" t="inlineStr">
        <is>
          <t>Total</t>
        </is>
      </c>
    </row>
    <row r="4">
      <c r="A4" s="4" t="inlineStr">
        <is>
          <t>Hiring Assistant chat</t>
        </is>
      </c>
      <c r="B4" s="16" t="n">
        <v>60</v>
      </c>
      <c r="C4" s="16" t="n">
        <v>10</v>
      </c>
      <c r="D4" s="16" t="n">
        <v>12</v>
      </c>
      <c r="E4" s="16" t="n">
        <v>40</v>
      </c>
      <c r="F4" s="16" t="n">
        <v>25</v>
      </c>
      <c r="G4" s="16" t="n">
        <v>8</v>
      </c>
      <c r="H4" s="16" t="n">
        <v>15</v>
      </c>
      <c r="I4" s="16" t="n">
        <v>6</v>
      </c>
      <c r="J4" s="16" t="n">
        <v>6</v>
      </c>
      <c r="K4" s="16" t="n">
        <v>14</v>
      </c>
      <c r="L4" s="20">
        <f>SUM(B4:K4)</f>
        <v/>
      </c>
    </row>
    <row r="5">
      <c r="A5" s="4" t="inlineStr">
        <is>
          <t>JD writing</t>
        </is>
      </c>
      <c r="B5" s="16" t="n">
        <v>18</v>
      </c>
      <c r="C5" s="16" t="n">
        <v>3</v>
      </c>
      <c r="D5" s="16" t="n">
        <v>3</v>
      </c>
      <c r="E5" s="16" t="n">
        <v>5</v>
      </c>
      <c r="F5" s="16" t="n">
        <v>2</v>
      </c>
      <c r="G5" s="16" t="n">
        <v>0</v>
      </c>
      <c r="H5" s="16" t="n">
        <v>2</v>
      </c>
      <c r="I5" s="16" t="n">
        <v>1</v>
      </c>
      <c r="J5" s="16" t="n">
        <v>1</v>
      </c>
      <c r="K5" s="16" t="n">
        <v>2</v>
      </c>
      <c r="L5" s="20">
        <f>SUM(B5:K5)</f>
        <v/>
      </c>
    </row>
    <row r="6">
      <c r="A6" s="4" t="inlineStr">
        <is>
          <t>CV screening</t>
        </is>
      </c>
      <c r="B6" s="16" t="n">
        <v>0</v>
      </c>
      <c r="C6" s="16" t="n">
        <v>0</v>
      </c>
      <c r="D6" s="16" t="n">
        <v>0</v>
      </c>
      <c r="E6" s="16" t="n">
        <v>0</v>
      </c>
      <c r="F6" s="16" t="n">
        <v>0</v>
      </c>
      <c r="G6" s="16" t="n">
        <v>0</v>
      </c>
      <c r="H6" s="16" t="n">
        <v>0</v>
      </c>
      <c r="I6" s="16" t="n">
        <v>0</v>
      </c>
      <c r="J6" s="16" t="n">
        <v>0</v>
      </c>
      <c r="K6" s="16" t="n">
        <v>24</v>
      </c>
      <c r="L6" s="20">
        <f>SUM(B6:K6)</f>
        <v/>
      </c>
    </row>
    <row r="7">
      <c r="A7" s="4" t="inlineStr">
        <is>
          <t>Talent rediscovery</t>
        </is>
      </c>
      <c r="B7" s="16" t="n">
        <v>0</v>
      </c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6</v>
      </c>
      <c r="L7" s="20">
        <f>SUM(B7:K7)</f>
        <v/>
      </c>
    </row>
    <row r="8">
      <c r="A8" s="4" t="inlineStr">
        <is>
          <t>Q&amp;A analysis</t>
        </is>
      </c>
      <c r="B8" s="16" t="n">
        <v>0</v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0</v>
      </c>
      <c r="H8" s="16" t="n">
        <v>16</v>
      </c>
      <c r="I8" s="16" t="n">
        <v>8</v>
      </c>
      <c r="J8" s="16" t="n">
        <v>8</v>
      </c>
      <c r="K8" s="16" t="n">
        <v>2</v>
      </c>
      <c r="L8" s="20">
        <f>SUM(B8:K8)</f>
        <v/>
      </c>
    </row>
    <row r="9">
      <c r="A9" s="4" t="inlineStr">
        <is>
          <t>Interview review (F8-F10)</t>
        </is>
      </c>
      <c r="B9" s="16" t="n">
        <v>0</v>
      </c>
      <c r="C9" s="16" t="n">
        <v>0</v>
      </c>
      <c r="D9" s="16" t="n">
        <v>0</v>
      </c>
      <c r="E9" s="16" t="n">
        <v>0</v>
      </c>
      <c r="F9" s="16" t="n">
        <v>0</v>
      </c>
      <c r="G9" s="16" t="n">
        <v>0</v>
      </c>
      <c r="H9" s="16" t="n">
        <v>8</v>
      </c>
      <c r="I9" s="16" t="n">
        <v>4</v>
      </c>
      <c r="J9" s="16" t="n">
        <v>4</v>
      </c>
      <c r="K9" s="16" t="n">
        <v>1</v>
      </c>
      <c r="L9" s="20">
        <f>SUM(B9:K9)</f>
        <v/>
      </c>
    </row>
    <row r="10">
      <c r="A10" s="4" t="inlineStr">
        <is>
          <t>Assessment report</t>
        </is>
      </c>
      <c r="B10" s="16" t="n">
        <v>0</v>
      </c>
      <c r="C10" s="16" t="n">
        <v>0</v>
      </c>
      <c r="D10" s="16" t="n">
        <v>0</v>
      </c>
      <c r="E10" s="16" t="n">
        <v>0</v>
      </c>
      <c r="F10" s="16" t="n">
        <v>0</v>
      </c>
      <c r="G10" s="16" t="n">
        <v>0</v>
      </c>
      <c r="H10" s="16" t="n">
        <v>10</v>
      </c>
      <c r="I10" s="16" t="n">
        <v>5</v>
      </c>
      <c r="J10" s="16" t="n">
        <v>6</v>
      </c>
      <c r="K10" s="16" t="n">
        <v>1</v>
      </c>
      <c r="L10" s="20">
        <f>SUM(B10:K10)</f>
        <v/>
      </c>
    </row>
    <row r="11">
      <c r="A11" s="4" t="inlineStr">
        <is>
          <t>AI Helper (live room)</t>
        </is>
      </c>
      <c r="B11" s="16" t="n">
        <v>0</v>
      </c>
      <c r="C11" s="16" t="n">
        <v>0</v>
      </c>
      <c r="D11" s="16" t="n">
        <v>0</v>
      </c>
      <c r="E11" s="16" t="n">
        <v>0</v>
      </c>
      <c r="F11" s="16" t="n">
        <v>30</v>
      </c>
      <c r="G11" s="16" t="n">
        <v>6</v>
      </c>
      <c r="H11" s="16" t="n">
        <v>6</v>
      </c>
      <c r="I11" s="16" t="n">
        <v>4</v>
      </c>
      <c r="J11" s="16" t="n">
        <v>3</v>
      </c>
      <c r="K11" s="16" t="n">
        <v>4</v>
      </c>
      <c r="L11" s="20">
        <f>SUM(B11:K11)</f>
        <v/>
      </c>
    </row>
    <row r="12">
      <c r="A12" s="4" t="inlineStr">
        <is>
          <t>CV interview questions</t>
        </is>
      </c>
      <c r="B12" s="16" t="n">
        <v>0</v>
      </c>
      <c r="C12" s="16" t="n">
        <v>0</v>
      </c>
      <c r="D12" s="16" t="n">
        <v>0</v>
      </c>
      <c r="E12" s="16" t="n">
        <v>0</v>
      </c>
      <c r="F12" s="16" t="n">
        <v>10</v>
      </c>
      <c r="G12" s="16" t="n">
        <v>3</v>
      </c>
      <c r="H12" s="16" t="n">
        <v>3</v>
      </c>
      <c r="I12" s="16" t="n">
        <v>2</v>
      </c>
      <c r="J12" s="16" t="n">
        <v>2</v>
      </c>
      <c r="K12" s="16" t="n">
        <v>1</v>
      </c>
      <c r="L12" s="20">
        <f>SUM(B12:K12)</f>
        <v/>
      </c>
    </row>
    <row r="14">
      <c r="A14" s="2" t="inlineStr">
        <is>
          <t>Days = the days AI code was committed (git log). Calls per day follow how much each AI feature was worked on and tested that day.</t>
        </is>
      </c>
    </row>
    <row r="15">
      <c r="A15" s="2" t="inlineStr">
        <is>
          <t>Anchor: the app's own request counter shows 43 requests to gemini-3.5-flash-lite on 23 Oct 2026, the last day it recorded.</t>
        </is>
      </c>
    </row>
    <row r="16">
      <c r="A16" s="2" t="inlineStr">
        <is>
          <t>Not included: thinking tokens, embedding calls (local Ollama model), the local screening model, and automated tests (they use a fake LLM).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2026-10-27T08:45:35Z</dcterms:created>
  <dcterms:modified xmlns:dcterms="http://purl.org/dc/terms/" xmlns:xsi="http://www.w3.org/2001/XMLSchema-instance" xsi:type="dcterms:W3CDTF">2026-10-27T08:45:35Z</dcterms:modified>
</cp:coreProperties>
</file>